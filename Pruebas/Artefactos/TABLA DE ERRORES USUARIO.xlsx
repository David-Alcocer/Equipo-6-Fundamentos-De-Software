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8_{D4F58F07-7FD1-45B8-B243-44940EED10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udianteases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4FIcTmOd8TS3SF7U32l5KI/1iya+3HapefQc2CCxis="/>
    </ext>
  </extLst>
</workbook>
</file>

<file path=xl/calcChain.xml><?xml version="1.0" encoding="utf-8"?>
<calcChain xmlns="http://schemas.openxmlformats.org/spreadsheetml/2006/main">
  <c r="D27" i="1" l="1"/>
  <c r="E27" i="1"/>
  <c r="F27" i="1"/>
  <c r="G27" i="1"/>
  <c r="H27" i="1"/>
  <c r="I27" i="1"/>
  <c r="J27" i="1"/>
  <c r="C27" i="1"/>
  <c r="S27" i="1"/>
  <c r="R27" i="1"/>
  <c r="Q27" i="1"/>
  <c r="P27" i="1"/>
  <c r="O27" i="1"/>
  <c r="N27" i="1"/>
  <c r="T26" i="1"/>
  <c r="I26" i="1"/>
  <c r="J26" i="1" s="1"/>
  <c r="K26" i="1" s="1"/>
  <c r="T25" i="1"/>
  <c r="J25" i="1"/>
  <c r="K25" i="1" s="1"/>
  <c r="I25" i="1"/>
  <c r="T24" i="1"/>
  <c r="I24" i="1"/>
  <c r="J24" i="1" s="1"/>
  <c r="K24" i="1" s="1"/>
  <c r="T23" i="1"/>
  <c r="T27" i="1" s="1"/>
  <c r="J23" i="1"/>
  <c r="K23" i="1" s="1"/>
  <c r="I19" i="1"/>
  <c r="D19" i="1"/>
  <c r="E19" i="1"/>
  <c r="F19" i="1"/>
  <c r="G19" i="1"/>
  <c r="H19" i="1"/>
  <c r="C19" i="1"/>
  <c r="S19" i="1"/>
  <c r="R19" i="1"/>
  <c r="Q19" i="1"/>
  <c r="P19" i="1"/>
  <c r="O19" i="1"/>
  <c r="N19" i="1"/>
  <c r="T18" i="1"/>
  <c r="I18" i="1"/>
  <c r="J18" i="1" s="1"/>
  <c r="K18" i="1" s="1"/>
  <c r="O17" i="1"/>
  <c r="N17" i="1"/>
  <c r="T17" i="1" s="1"/>
  <c r="I17" i="1"/>
  <c r="J17" i="1" s="1"/>
  <c r="K17" i="1" s="1"/>
  <c r="T16" i="1"/>
  <c r="I16" i="1"/>
  <c r="J16" i="1" s="1"/>
  <c r="K16" i="1" s="1"/>
  <c r="N15" i="1"/>
  <c r="T15" i="1" s="1"/>
  <c r="J15" i="1"/>
  <c r="K15" i="1" s="1"/>
  <c r="I15" i="1"/>
  <c r="T14" i="1"/>
  <c r="I14" i="1"/>
  <c r="J14" i="1" s="1"/>
  <c r="K14" i="1" s="1"/>
  <c r="T13" i="1"/>
  <c r="I13" i="1"/>
  <c r="J13" i="1" s="1"/>
  <c r="K13" i="1" s="1"/>
  <c r="T12" i="1"/>
  <c r="J12" i="1"/>
  <c r="K12" i="1" s="1"/>
  <c r="I12" i="1"/>
  <c r="T11" i="1"/>
  <c r="I11" i="1"/>
  <c r="J11" i="1" s="1"/>
  <c r="K11" i="1" s="1"/>
  <c r="T10" i="1"/>
  <c r="I10" i="1"/>
  <c r="J10" i="1" s="1"/>
  <c r="K10" i="1" s="1"/>
  <c r="T9" i="1"/>
  <c r="I9" i="1"/>
  <c r="J9" i="1" s="1"/>
  <c r="K9" i="1" s="1"/>
  <c r="T8" i="1"/>
  <c r="I8" i="1"/>
  <c r="J8" i="1" s="1"/>
  <c r="K8" i="1" s="1"/>
  <c r="T7" i="1"/>
  <c r="I7" i="1"/>
  <c r="J7" i="1" s="1"/>
  <c r="K7" i="1" s="1"/>
  <c r="T6" i="1"/>
  <c r="I6" i="1"/>
  <c r="J6" i="1" s="1"/>
  <c r="K6" i="1" s="1"/>
  <c r="T19" i="1" l="1"/>
</calcChain>
</file>

<file path=xl/sharedStrings.xml><?xml version="1.0" encoding="utf-8"?>
<sst xmlns="http://schemas.openxmlformats.org/spreadsheetml/2006/main" count="94" uniqueCount="53">
  <si>
    <t>Nombre</t>
  </si>
  <si>
    <t>ID Estudiante</t>
  </si>
  <si>
    <t>Iniciar sesión</t>
  </si>
  <si>
    <t>Crear solicitud</t>
  </si>
  <si>
    <t>Ver solicitud</t>
  </si>
  <si>
    <t>Chat</t>
  </si>
  <si>
    <t>Ver sesión</t>
  </si>
  <si>
    <t>Videollamada</t>
  </si>
  <si>
    <t>Total Errores</t>
  </si>
  <si>
    <t>Promedio error</t>
  </si>
  <si>
    <t>Calidad</t>
  </si>
  <si>
    <t>Tiempo</t>
  </si>
  <si>
    <t>Tiempo total</t>
  </si>
  <si>
    <t>Patty</t>
  </si>
  <si>
    <t>Estudiante 1</t>
  </si>
  <si>
    <t>Michelle</t>
  </si>
  <si>
    <t>Estudiante 2</t>
  </si>
  <si>
    <t>Jhoana</t>
  </si>
  <si>
    <t>Estudiante 3</t>
  </si>
  <si>
    <t>Johan</t>
  </si>
  <si>
    <t>Estudiante 4</t>
  </si>
  <si>
    <t>Eithel</t>
  </si>
  <si>
    <t>Estudiante 5</t>
  </si>
  <si>
    <t>Rodri (amigo)</t>
  </si>
  <si>
    <t>Estudiante 6</t>
  </si>
  <si>
    <t>jose</t>
  </si>
  <si>
    <t>Estudiante 7</t>
  </si>
  <si>
    <t>leo</t>
  </si>
  <si>
    <t>Estudiante 8</t>
  </si>
  <si>
    <t>danna</t>
  </si>
  <si>
    <t>Estudiante 9</t>
  </si>
  <si>
    <t>kevin</t>
  </si>
  <si>
    <t>Estudiante 10</t>
  </si>
  <si>
    <t>anonimo</t>
  </si>
  <si>
    <t>Estudiante 11</t>
  </si>
  <si>
    <t>german</t>
  </si>
  <si>
    <t>Estudiante 12</t>
  </si>
  <si>
    <t>Estudiante 13</t>
  </si>
  <si>
    <t>Promedio</t>
  </si>
  <si>
    <t>NOTAS</t>
  </si>
  <si>
    <t>Tabla de errores criticos</t>
  </si>
  <si>
    <t>segundos</t>
  </si>
  <si>
    <t>ID Asesor</t>
  </si>
  <si>
    <t>Aceptar solicitud</t>
  </si>
  <si>
    <t>Escribir</t>
  </si>
  <si>
    <t>Josue / 5to</t>
  </si>
  <si>
    <t>Asesor 1</t>
  </si>
  <si>
    <t>Gibran / 7mo</t>
  </si>
  <si>
    <t>Asesor 2</t>
  </si>
  <si>
    <t>Rodrigo / 5to</t>
  </si>
  <si>
    <t>Asesor 3</t>
  </si>
  <si>
    <t>Mauricio / 5to</t>
  </si>
  <si>
    <t>Asesor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</si>
</sst>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6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B7E1CD"/>
        <bgColor rgb="FFB7E1CD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7" xfId="0" applyFont="1" applyFill="1" applyBorder="1"/>
    <xf numFmtId="0" fontId="4" fillId="2" borderId="7" xfId="0" applyFont="1" applyFill="1" applyBorder="1"/>
    <xf numFmtId="0" fontId="3" fillId="0" borderId="7" xfId="0" applyFont="1" applyBorder="1"/>
    <xf numFmtId="0" fontId="4" fillId="3" borderId="7" xfId="0" applyFont="1" applyFill="1" applyBorder="1"/>
    <xf numFmtId="0" fontId="4" fillId="0" borderId="7" xfId="0" applyFont="1" applyBorder="1"/>
    <xf numFmtId="2" fontId="4" fillId="0" borderId="7" xfId="0" applyNumberFormat="1" applyFont="1" applyBorder="1"/>
    <xf numFmtId="0" fontId="4" fillId="0" borderId="7" xfId="0" applyFont="1" applyBorder="1" applyAlignment="1">
      <alignment horizontal="right"/>
    </xf>
    <xf numFmtId="2" fontId="4" fillId="0" borderId="7" xfId="0" applyNumberFormat="1" applyFont="1" applyBorder="1" applyAlignment="1">
      <alignment horizontal="right"/>
    </xf>
    <xf numFmtId="0" fontId="4" fillId="4" borderId="7" xfId="0" applyFont="1" applyFill="1" applyBorder="1"/>
    <xf numFmtId="0" fontId="4" fillId="5" borderId="7" xfId="0" applyFont="1" applyFill="1" applyBorder="1"/>
    <xf numFmtId="0" fontId="5" fillId="6" borderId="7" xfId="0" applyFont="1" applyFill="1" applyBorder="1"/>
    <xf numFmtId="0" fontId="4" fillId="0" borderId="7" xfId="0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0" fontId="4" fillId="2" borderId="10" xfId="0" applyFont="1" applyFill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0" borderId="1" xfId="0" applyFont="1" applyBorder="1"/>
    <xf numFmtId="0" fontId="2" fillId="0" borderId="8" xfId="0" applyFont="1" applyBorder="1"/>
    <xf numFmtId="0" fontId="0" fillId="0" borderId="0" xfId="0"/>
    <xf numFmtId="0" fontId="2" fillId="0" borderId="9" xfId="0" applyFont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15" xfId="0" applyFont="1" applyBorder="1" applyAlignment="1">
      <alignment horizontal="right"/>
    </xf>
    <xf numFmtId="0" fontId="4" fillId="0" borderId="15" xfId="0" applyFont="1" applyBorder="1"/>
    <xf numFmtId="0" fontId="0" fillId="0" borderId="14" xfId="0" applyBorder="1"/>
  </cellXfs>
  <cellStyles count="1">
    <cellStyle name="Normal" xfId="0" builtinId="0"/>
  </cellStyles>
  <dxfs count="1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MX"/>
              <a:t>Promedio de tiempo por tarea (segundos)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Estudianteasesor!$N$5:$T$5</c:f>
              <c:strCache>
                <c:ptCount val="7"/>
                <c:pt idx="0">
                  <c:v>Iniciar sesión</c:v>
                </c:pt>
                <c:pt idx="1">
                  <c:v>Crear solicitud</c:v>
                </c:pt>
                <c:pt idx="2">
                  <c:v>Ver solicitud</c:v>
                </c:pt>
                <c:pt idx="3">
                  <c:v>Chat</c:v>
                </c:pt>
                <c:pt idx="4">
                  <c:v>Ver sesión</c:v>
                </c:pt>
                <c:pt idx="5">
                  <c:v>Videollamada</c:v>
                </c:pt>
                <c:pt idx="6">
                  <c:v>Tiempo total</c:v>
                </c:pt>
              </c:strCache>
            </c:strRef>
          </c:cat>
          <c:val>
            <c:numRef>
              <c:f>Estudianteasesor!$N$19:$T$19</c:f>
              <c:numCache>
                <c:formatCode>0.00</c:formatCode>
                <c:ptCount val="7"/>
                <c:pt idx="0">
                  <c:v>41.307692307692307</c:v>
                </c:pt>
                <c:pt idx="1">
                  <c:v>78.461538461538467</c:v>
                </c:pt>
                <c:pt idx="2">
                  <c:v>13.461538461538462</c:v>
                </c:pt>
                <c:pt idx="3">
                  <c:v>34.92307692307692</c:v>
                </c:pt>
                <c:pt idx="4">
                  <c:v>16.384615384615383</c:v>
                </c:pt>
                <c:pt idx="5">
                  <c:v>8.8461538461538467</c:v>
                </c:pt>
                <c:pt idx="6">
                  <c:v>193.38461538461539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A-46CF-AE5E-E89378A3C8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445410992"/>
        <c:axId val="1445418192"/>
      </c:barChart>
      <c:catAx>
        <c:axId val="144541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45418192"/>
        <c:crosses val="autoZero"/>
        <c:auto val="1"/>
        <c:lblAlgn val="ctr"/>
        <c:lblOffset val="100"/>
        <c:noMultiLvlLbl val="0"/>
      </c:catAx>
      <c:valAx>
        <c:axId val="144541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4541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Errores criticos por tarea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Estudianteasesor!$C$5:$H$5</c:f>
              <c:strCache>
                <c:ptCount val="6"/>
                <c:pt idx="0">
                  <c:v>Iniciar sesión</c:v>
                </c:pt>
                <c:pt idx="1">
                  <c:v>Crear solicitud</c:v>
                </c:pt>
                <c:pt idx="2">
                  <c:v>Ver solicitud</c:v>
                </c:pt>
                <c:pt idx="3">
                  <c:v>Chat</c:v>
                </c:pt>
                <c:pt idx="4">
                  <c:v>Ver sesión</c:v>
                </c:pt>
                <c:pt idx="5">
                  <c:v>Videollamada</c:v>
                </c:pt>
              </c:strCache>
            </c:strRef>
          </c:cat>
          <c:val>
            <c:numRef>
              <c:f>Estudianteasesor!$C$19:$H$19</c:f>
              <c:numCache>
                <c:formatCode>General</c:formatCode>
                <c:ptCount val="6"/>
                <c:pt idx="0">
                  <c:v>10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A-4645-8B99-4DE761553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5439312"/>
        <c:axId val="1445446512"/>
      </c:barChart>
      <c:catAx>
        <c:axId val="1445439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45446512"/>
        <c:crosses val="autoZero"/>
        <c:auto val="1"/>
        <c:lblAlgn val="ctr"/>
        <c:lblOffset val="100"/>
        <c:noMultiLvlLbl val="0"/>
      </c:catAx>
      <c:valAx>
        <c:axId val="144544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4543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30077</xdr:colOff>
      <xdr:row>3</xdr:row>
      <xdr:rowOff>31273</xdr:rowOff>
    </xdr:from>
    <xdr:to>
      <xdr:col>26</xdr:col>
      <xdr:colOff>220166</xdr:colOff>
      <xdr:row>16</xdr:row>
      <xdr:rowOff>186071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5CB91FE-8042-0C22-6F3C-7BEB2F70E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34868</xdr:colOff>
      <xdr:row>18</xdr:row>
      <xdr:rowOff>54569</xdr:rowOff>
    </xdr:from>
    <xdr:to>
      <xdr:col>26</xdr:col>
      <xdr:colOff>284056</xdr:colOff>
      <xdr:row>32</xdr:row>
      <xdr:rowOff>21166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6541C68-3069-5640-4665-52E33B26E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00"/>
  <sheetViews>
    <sheetView tabSelected="1" topLeftCell="A6" zoomScale="67" workbookViewId="0">
      <selection activeCell="K27" sqref="K27"/>
    </sheetView>
  </sheetViews>
  <sheetFormatPr baseColWidth="10" defaultColWidth="12.6640625" defaultRowHeight="15" customHeight="1" x14ac:dyDescent="0.25"/>
  <cols>
    <col min="1" max="3" width="12.6640625" customWidth="1"/>
    <col min="4" max="4" width="15.109375" customWidth="1"/>
    <col min="5" max="6" width="12.6640625" customWidth="1"/>
    <col min="11" max="11" width="15.6640625" customWidth="1"/>
    <col min="14" max="18" width="13.5546875" bestFit="1" customWidth="1"/>
    <col min="19" max="19" width="12.77734375" customWidth="1"/>
  </cols>
  <sheetData>
    <row r="1" spans="1:20" ht="15.75" customHeight="1" x14ac:dyDescent="0.25"/>
    <row r="2" spans="1:20" ht="15.75" customHeight="1" x14ac:dyDescent="0.25">
      <c r="B2" s="15" t="s">
        <v>40</v>
      </c>
      <c r="C2" s="16"/>
      <c r="D2" s="17"/>
    </row>
    <row r="3" spans="1:20" ht="15.75" customHeight="1" x14ac:dyDescent="0.25">
      <c r="B3" s="18"/>
      <c r="C3" s="19"/>
      <c r="D3" s="20"/>
    </row>
    <row r="4" spans="1:20" ht="15.75" customHeight="1" x14ac:dyDescent="0.25">
      <c r="M4" s="25" t="s">
        <v>41</v>
      </c>
      <c r="N4" s="26"/>
      <c r="O4" s="26"/>
      <c r="P4" s="26"/>
      <c r="Q4" s="26"/>
      <c r="R4" s="26"/>
      <c r="S4" s="26"/>
      <c r="T4" s="27"/>
    </row>
    <row r="5" spans="1:20" ht="15.75" customHeight="1" x14ac:dyDescent="0.25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M5" s="14" t="s">
        <v>11</v>
      </c>
      <c r="N5" s="14" t="s">
        <v>2</v>
      </c>
      <c r="O5" s="14" t="s">
        <v>3</v>
      </c>
      <c r="P5" s="14" t="s">
        <v>4</v>
      </c>
      <c r="Q5" s="14" t="s">
        <v>5</v>
      </c>
      <c r="R5" s="14" t="s">
        <v>6</v>
      </c>
      <c r="S5" s="14" t="s">
        <v>7</v>
      </c>
      <c r="T5" s="14" t="s">
        <v>12</v>
      </c>
    </row>
    <row r="6" spans="1:20" ht="15.75" customHeight="1" x14ac:dyDescent="0.25">
      <c r="A6" s="3" t="s">
        <v>13</v>
      </c>
      <c r="B6" s="4" t="s">
        <v>14</v>
      </c>
      <c r="C6" s="5">
        <v>0</v>
      </c>
      <c r="D6" s="5">
        <v>2</v>
      </c>
      <c r="E6" s="5">
        <v>0</v>
      </c>
      <c r="F6" s="5">
        <v>0</v>
      </c>
      <c r="G6" s="5">
        <v>1</v>
      </c>
      <c r="H6" s="5">
        <v>0</v>
      </c>
      <c r="I6" s="5">
        <f t="shared" ref="I6:I18" si="0">SUM(C6:H6)</f>
        <v>3</v>
      </c>
      <c r="J6" s="6">
        <f t="shared" ref="J6:J11" si="1">(I6/7)</f>
        <v>0.42857142857142855</v>
      </c>
      <c r="K6" s="5" t="str">
        <f t="shared" ref="K6:K18" si="2">IF(J6&lt;0.5,"Bien ++",IF(J6&lt;0.75,"Aceptable +-","Urgente --"))</f>
        <v>Bien ++</v>
      </c>
      <c r="M6" s="4" t="s">
        <v>14</v>
      </c>
      <c r="N6" s="12">
        <v>10</v>
      </c>
      <c r="O6" s="12">
        <v>180</v>
      </c>
      <c r="P6" s="12">
        <v>10</v>
      </c>
      <c r="Q6" s="12">
        <v>10</v>
      </c>
      <c r="R6" s="12">
        <v>25</v>
      </c>
      <c r="S6" s="12">
        <v>15</v>
      </c>
      <c r="T6" s="13">
        <f t="shared" ref="T6:T11" si="3">SUM(N6:S6)</f>
        <v>250</v>
      </c>
    </row>
    <row r="7" spans="1:20" ht="15.75" customHeight="1" x14ac:dyDescent="0.25">
      <c r="A7" s="3" t="s">
        <v>15</v>
      </c>
      <c r="B7" s="2" t="s">
        <v>16</v>
      </c>
      <c r="C7" s="5">
        <v>2</v>
      </c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f t="shared" si="0"/>
        <v>3</v>
      </c>
      <c r="J7" s="6">
        <f t="shared" si="1"/>
        <v>0.42857142857142855</v>
      </c>
      <c r="K7" s="5" t="str">
        <f t="shared" si="2"/>
        <v>Bien ++</v>
      </c>
      <c r="M7" s="2" t="s">
        <v>16</v>
      </c>
      <c r="N7" s="12">
        <v>25</v>
      </c>
      <c r="O7" s="12">
        <v>122</v>
      </c>
      <c r="P7" s="12">
        <v>12</v>
      </c>
      <c r="Q7" s="12">
        <v>16</v>
      </c>
      <c r="R7" s="12">
        <v>12</v>
      </c>
      <c r="S7" s="12">
        <v>10</v>
      </c>
      <c r="T7" s="13">
        <f t="shared" si="3"/>
        <v>197</v>
      </c>
    </row>
    <row r="8" spans="1:20" ht="15.75" customHeight="1" x14ac:dyDescent="0.25">
      <c r="A8" s="3" t="s">
        <v>17</v>
      </c>
      <c r="B8" s="4" t="s">
        <v>18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f t="shared" si="0"/>
        <v>0</v>
      </c>
      <c r="J8" s="6">
        <f t="shared" si="1"/>
        <v>0</v>
      </c>
      <c r="K8" s="5" t="str">
        <f t="shared" si="2"/>
        <v>Bien ++</v>
      </c>
      <c r="M8" s="4" t="s">
        <v>18</v>
      </c>
      <c r="N8" s="12">
        <v>17</v>
      </c>
      <c r="O8" s="12">
        <v>55</v>
      </c>
      <c r="P8" s="12">
        <v>14</v>
      </c>
      <c r="Q8" s="12">
        <v>28</v>
      </c>
      <c r="R8" s="12">
        <v>8</v>
      </c>
      <c r="S8" s="12">
        <v>9</v>
      </c>
      <c r="T8" s="13">
        <f t="shared" si="3"/>
        <v>131</v>
      </c>
    </row>
    <row r="9" spans="1:20" ht="15.75" customHeight="1" x14ac:dyDescent="0.25">
      <c r="A9" s="3" t="s">
        <v>19</v>
      </c>
      <c r="B9" s="2" t="s">
        <v>20</v>
      </c>
      <c r="C9" s="5">
        <v>0</v>
      </c>
      <c r="D9" s="5">
        <v>0</v>
      </c>
      <c r="E9" s="5">
        <v>1</v>
      </c>
      <c r="F9" s="5">
        <v>1</v>
      </c>
      <c r="G9" s="5">
        <v>0</v>
      </c>
      <c r="H9" s="5">
        <v>1</v>
      </c>
      <c r="I9" s="5">
        <f t="shared" si="0"/>
        <v>3</v>
      </c>
      <c r="J9" s="6">
        <f t="shared" si="1"/>
        <v>0.42857142857142855</v>
      </c>
      <c r="K9" s="5" t="str">
        <f t="shared" si="2"/>
        <v>Bien ++</v>
      </c>
      <c r="M9" s="2" t="s">
        <v>20</v>
      </c>
      <c r="N9" s="12">
        <v>36</v>
      </c>
      <c r="O9" s="12">
        <v>23</v>
      </c>
      <c r="P9" s="12">
        <v>21</v>
      </c>
      <c r="Q9" s="12">
        <v>32</v>
      </c>
      <c r="R9" s="12">
        <v>12</v>
      </c>
      <c r="S9" s="12">
        <v>4</v>
      </c>
      <c r="T9" s="13">
        <f t="shared" si="3"/>
        <v>128</v>
      </c>
    </row>
    <row r="10" spans="1:20" ht="15.75" customHeight="1" x14ac:dyDescent="0.25">
      <c r="A10" s="3" t="s">
        <v>21</v>
      </c>
      <c r="B10" s="4" t="s">
        <v>22</v>
      </c>
      <c r="C10" s="5">
        <v>0</v>
      </c>
      <c r="D10" s="5">
        <v>3</v>
      </c>
      <c r="E10" s="5">
        <v>1</v>
      </c>
      <c r="F10" s="5">
        <v>1</v>
      </c>
      <c r="G10" s="5">
        <v>0</v>
      </c>
      <c r="H10" s="5">
        <v>0</v>
      </c>
      <c r="I10" s="5">
        <f t="shared" si="0"/>
        <v>5</v>
      </c>
      <c r="J10" s="6">
        <f t="shared" si="1"/>
        <v>0.7142857142857143</v>
      </c>
      <c r="K10" s="5" t="str">
        <f t="shared" si="2"/>
        <v>Aceptable +-</v>
      </c>
      <c r="M10" s="4" t="s">
        <v>22</v>
      </c>
      <c r="N10" s="12">
        <v>33</v>
      </c>
      <c r="O10" s="12">
        <v>114</v>
      </c>
      <c r="P10" s="12">
        <v>18</v>
      </c>
      <c r="Q10" s="12">
        <v>22</v>
      </c>
      <c r="R10" s="12">
        <v>15</v>
      </c>
      <c r="S10" s="12">
        <v>22</v>
      </c>
      <c r="T10" s="13">
        <f t="shared" si="3"/>
        <v>224</v>
      </c>
    </row>
    <row r="11" spans="1:20" ht="15.75" customHeight="1" x14ac:dyDescent="0.25">
      <c r="A11" s="3" t="s">
        <v>23</v>
      </c>
      <c r="B11" s="2" t="s">
        <v>24</v>
      </c>
      <c r="C11" s="5">
        <v>0</v>
      </c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f t="shared" si="0"/>
        <v>1</v>
      </c>
      <c r="J11" s="6">
        <f t="shared" si="1"/>
        <v>0.14285714285714285</v>
      </c>
      <c r="K11" s="5" t="str">
        <f t="shared" si="2"/>
        <v>Bien ++</v>
      </c>
      <c r="M11" s="2" t="s">
        <v>24</v>
      </c>
      <c r="N11" s="12">
        <v>35</v>
      </c>
      <c r="O11" s="12">
        <v>44</v>
      </c>
      <c r="P11" s="12">
        <v>8</v>
      </c>
      <c r="Q11" s="12">
        <v>13</v>
      </c>
      <c r="R11" s="12">
        <v>12</v>
      </c>
      <c r="S11" s="12">
        <v>6</v>
      </c>
      <c r="T11" s="13">
        <f t="shared" si="3"/>
        <v>118</v>
      </c>
    </row>
    <row r="12" spans="1:20" ht="15.75" customHeight="1" x14ac:dyDescent="0.25">
      <c r="A12" s="5" t="s">
        <v>25</v>
      </c>
      <c r="B12" s="4" t="s">
        <v>26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5">
        <f t="shared" si="0"/>
        <v>0</v>
      </c>
      <c r="J12" s="8">
        <f t="shared" ref="J12:J18" si="4">(I12/7)</f>
        <v>0</v>
      </c>
      <c r="K12" s="9" t="str">
        <f t="shared" si="2"/>
        <v>Bien ++</v>
      </c>
      <c r="M12" s="4" t="s">
        <v>26</v>
      </c>
      <c r="N12" s="12">
        <v>40</v>
      </c>
      <c r="O12" s="12">
        <v>57</v>
      </c>
      <c r="P12" s="12">
        <v>5</v>
      </c>
      <c r="Q12" s="12">
        <v>10</v>
      </c>
      <c r="R12" s="12">
        <v>10</v>
      </c>
      <c r="S12" s="12">
        <v>5</v>
      </c>
      <c r="T12" s="13">
        <f t="shared" ref="T12:T18" si="5">+SUM(N12:S12)</f>
        <v>127</v>
      </c>
    </row>
    <row r="13" spans="1:20" ht="15.75" customHeight="1" x14ac:dyDescent="0.25">
      <c r="A13" s="5" t="s">
        <v>27</v>
      </c>
      <c r="B13" s="2" t="s">
        <v>28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5">
        <f t="shared" si="0"/>
        <v>0</v>
      </c>
      <c r="J13" s="8">
        <f t="shared" si="4"/>
        <v>0</v>
      </c>
      <c r="K13" s="9" t="str">
        <f t="shared" si="2"/>
        <v>Bien ++</v>
      </c>
      <c r="M13" s="2" t="s">
        <v>28</v>
      </c>
      <c r="N13" s="12">
        <v>49</v>
      </c>
      <c r="O13" s="12">
        <v>80</v>
      </c>
      <c r="P13" s="12">
        <v>6</v>
      </c>
      <c r="Q13" s="12">
        <v>35</v>
      </c>
      <c r="R13" s="12">
        <v>7</v>
      </c>
      <c r="S13" s="12">
        <v>2</v>
      </c>
      <c r="T13" s="13">
        <f t="shared" si="5"/>
        <v>179</v>
      </c>
    </row>
    <row r="14" spans="1:20" ht="15.75" customHeight="1" x14ac:dyDescent="0.25">
      <c r="A14" s="5" t="s">
        <v>29</v>
      </c>
      <c r="B14" s="4" t="s">
        <v>30</v>
      </c>
      <c r="C14" s="7">
        <v>0</v>
      </c>
      <c r="D14" s="7">
        <v>0</v>
      </c>
      <c r="E14" s="7">
        <v>0</v>
      </c>
      <c r="F14" s="7">
        <v>1</v>
      </c>
      <c r="G14" s="7">
        <v>0</v>
      </c>
      <c r="H14" s="7">
        <v>0</v>
      </c>
      <c r="I14" s="5">
        <f t="shared" si="0"/>
        <v>1</v>
      </c>
      <c r="J14" s="8">
        <f t="shared" si="4"/>
        <v>0.14285714285714285</v>
      </c>
      <c r="K14" s="9" t="str">
        <f t="shared" si="2"/>
        <v>Bien ++</v>
      </c>
      <c r="M14" s="4" t="s">
        <v>30</v>
      </c>
      <c r="N14" s="12">
        <v>30</v>
      </c>
      <c r="O14" s="12">
        <v>55</v>
      </c>
      <c r="P14" s="12">
        <v>6</v>
      </c>
      <c r="Q14" s="12">
        <v>58</v>
      </c>
      <c r="R14" s="12">
        <v>30</v>
      </c>
      <c r="S14" s="12">
        <v>3</v>
      </c>
      <c r="T14" s="13">
        <f t="shared" si="5"/>
        <v>182</v>
      </c>
    </row>
    <row r="15" spans="1:20" ht="15.75" customHeight="1" x14ac:dyDescent="0.25">
      <c r="A15" s="5" t="s">
        <v>31</v>
      </c>
      <c r="B15" s="2" t="s">
        <v>32</v>
      </c>
      <c r="C15" s="7">
        <v>2</v>
      </c>
      <c r="D15" s="7">
        <v>0</v>
      </c>
      <c r="E15" s="7">
        <v>1</v>
      </c>
      <c r="F15" s="7">
        <v>0</v>
      </c>
      <c r="G15" s="7">
        <v>2</v>
      </c>
      <c r="H15" s="7">
        <v>0</v>
      </c>
      <c r="I15" s="5">
        <f t="shared" si="0"/>
        <v>5</v>
      </c>
      <c r="J15" s="8">
        <f t="shared" si="4"/>
        <v>0.7142857142857143</v>
      </c>
      <c r="K15" s="10" t="str">
        <f t="shared" si="2"/>
        <v>Aceptable +-</v>
      </c>
      <c r="M15" s="2" t="s">
        <v>32</v>
      </c>
      <c r="N15" s="12">
        <f>25+43</f>
        <v>68</v>
      </c>
      <c r="O15" s="12">
        <v>78</v>
      </c>
      <c r="P15" s="12">
        <v>25</v>
      </c>
      <c r="Q15" s="12">
        <v>80</v>
      </c>
      <c r="R15" s="12">
        <v>23</v>
      </c>
      <c r="S15" s="12">
        <v>6</v>
      </c>
      <c r="T15" s="13">
        <f t="shared" si="5"/>
        <v>280</v>
      </c>
    </row>
    <row r="16" spans="1:20" ht="15.75" customHeight="1" x14ac:dyDescent="0.25">
      <c r="A16" s="5" t="s">
        <v>33</v>
      </c>
      <c r="B16" s="5" t="s">
        <v>34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5">
        <f t="shared" si="0"/>
        <v>0</v>
      </c>
      <c r="J16" s="8">
        <f t="shared" si="4"/>
        <v>0</v>
      </c>
      <c r="K16" s="9" t="str">
        <f t="shared" si="2"/>
        <v>Bien ++</v>
      </c>
      <c r="M16" s="5" t="s">
        <v>34</v>
      </c>
      <c r="N16" s="12">
        <v>26</v>
      </c>
      <c r="O16" s="12">
        <v>52</v>
      </c>
      <c r="P16" s="12">
        <v>9</v>
      </c>
      <c r="Q16" s="12">
        <v>53</v>
      </c>
      <c r="R16" s="12">
        <v>10</v>
      </c>
      <c r="S16" s="12">
        <v>3</v>
      </c>
      <c r="T16" s="13">
        <f t="shared" si="5"/>
        <v>153</v>
      </c>
    </row>
    <row r="17" spans="1:20" ht="15.75" customHeight="1" x14ac:dyDescent="0.25">
      <c r="A17" s="5" t="s">
        <v>35</v>
      </c>
      <c r="B17" s="2" t="s">
        <v>36</v>
      </c>
      <c r="C17" s="7">
        <v>2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5">
        <f t="shared" si="0"/>
        <v>2</v>
      </c>
      <c r="J17" s="8">
        <f t="shared" si="4"/>
        <v>0.2857142857142857</v>
      </c>
      <c r="K17" s="9" t="str">
        <f t="shared" si="2"/>
        <v>Bien ++</v>
      </c>
      <c r="M17" s="2" t="s">
        <v>36</v>
      </c>
      <c r="N17" s="12">
        <f>30+48</f>
        <v>78</v>
      </c>
      <c r="O17" s="12">
        <f>12+15+60</f>
        <v>87</v>
      </c>
      <c r="P17" s="12">
        <v>23</v>
      </c>
      <c r="Q17" s="12">
        <v>25</v>
      </c>
      <c r="R17" s="12">
        <v>10</v>
      </c>
      <c r="S17" s="12">
        <v>25</v>
      </c>
      <c r="T17" s="13">
        <f t="shared" si="5"/>
        <v>248</v>
      </c>
    </row>
    <row r="18" spans="1:20" ht="15.75" customHeight="1" x14ac:dyDescent="0.25">
      <c r="A18" s="5" t="s">
        <v>33</v>
      </c>
      <c r="B18" s="5" t="s">
        <v>37</v>
      </c>
      <c r="C18" s="28">
        <v>4</v>
      </c>
      <c r="D18" s="28">
        <v>0</v>
      </c>
      <c r="E18" s="28">
        <v>0</v>
      </c>
      <c r="F18" s="28">
        <v>1</v>
      </c>
      <c r="G18" s="28">
        <v>0</v>
      </c>
      <c r="H18" s="28">
        <v>0</v>
      </c>
      <c r="I18" s="29">
        <f t="shared" si="0"/>
        <v>5</v>
      </c>
      <c r="J18" s="8">
        <f t="shared" si="4"/>
        <v>0.7142857142857143</v>
      </c>
      <c r="K18" s="10" t="str">
        <f t="shared" si="2"/>
        <v>Aceptable +-</v>
      </c>
      <c r="M18" s="5" t="s">
        <v>37</v>
      </c>
      <c r="N18" s="12">
        <v>90</v>
      </c>
      <c r="O18" s="12">
        <v>73</v>
      </c>
      <c r="P18" s="12">
        <v>18</v>
      </c>
      <c r="Q18" s="12">
        <v>72</v>
      </c>
      <c r="R18" s="12">
        <v>39</v>
      </c>
      <c r="S18" s="12">
        <v>5</v>
      </c>
      <c r="T18" s="12">
        <f t="shared" si="5"/>
        <v>297</v>
      </c>
    </row>
    <row r="19" spans="1:20" ht="15.75" customHeight="1" x14ac:dyDescent="0.25">
      <c r="C19" s="30">
        <f>+SUM(C6:C18)</f>
        <v>10</v>
      </c>
      <c r="D19" s="30">
        <f t="shared" ref="D19:I19" si="6">+SUM(D6:D18)</f>
        <v>5</v>
      </c>
      <c r="E19" s="30">
        <f t="shared" si="6"/>
        <v>5</v>
      </c>
      <c r="F19" s="30">
        <f t="shared" si="6"/>
        <v>4</v>
      </c>
      <c r="G19" s="30">
        <f t="shared" si="6"/>
        <v>3</v>
      </c>
      <c r="H19" s="30">
        <f t="shared" si="6"/>
        <v>1</v>
      </c>
      <c r="I19" s="30">
        <f t="shared" si="6"/>
        <v>28</v>
      </c>
      <c r="M19" s="11" t="s">
        <v>38</v>
      </c>
      <c r="N19" s="13">
        <f t="shared" ref="N19:T19" si="7">AVERAGE(N6:N18)</f>
        <v>41.307692307692307</v>
      </c>
      <c r="O19" s="13">
        <f t="shared" si="7"/>
        <v>78.461538461538467</v>
      </c>
      <c r="P19" s="13">
        <f t="shared" si="7"/>
        <v>13.461538461538462</v>
      </c>
      <c r="Q19" s="13">
        <f t="shared" si="7"/>
        <v>34.92307692307692</v>
      </c>
      <c r="R19" s="13">
        <f t="shared" si="7"/>
        <v>16.384615384615383</v>
      </c>
      <c r="S19" s="13">
        <f t="shared" si="7"/>
        <v>8.8461538461538467</v>
      </c>
      <c r="T19" s="13">
        <f t="shared" si="7"/>
        <v>193.38461538461539</v>
      </c>
    </row>
    <row r="20" spans="1:20" ht="15.75" customHeight="1" x14ac:dyDescent="0.25"/>
    <row r="21" spans="1:20" ht="15.75" customHeight="1" x14ac:dyDescent="0.25"/>
    <row r="22" spans="1:20" ht="15.75" customHeight="1" x14ac:dyDescent="0.25">
      <c r="A22" s="1" t="s">
        <v>0</v>
      </c>
      <c r="B22" s="2" t="s">
        <v>42</v>
      </c>
      <c r="C22" s="2" t="s">
        <v>2</v>
      </c>
      <c r="D22" s="2" t="s">
        <v>43</v>
      </c>
      <c r="E22" s="2" t="s">
        <v>5</v>
      </c>
      <c r="F22" s="2" t="s">
        <v>44</v>
      </c>
      <c r="G22" s="2" t="s">
        <v>6</v>
      </c>
      <c r="H22" s="2" t="s">
        <v>7</v>
      </c>
      <c r="I22" s="2" t="s">
        <v>8</v>
      </c>
      <c r="J22" s="2" t="s">
        <v>9</v>
      </c>
      <c r="K22" s="2" t="s">
        <v>10</v>
      </c>
      <c r="M22" s="2" t="s">
        <v>11</v>
      </c>
      <c r="N22" s="2" t="s">
        <v>2</v>
      </c>
      <c r="O22" s="2" t="s">
        <v>43</v>
      </c>
      <c r="P22" s="2" t="s">
        <v>5</v>
      </c>
      <c r="Q22" s="2" t="s">
        <v>44</v>
      </c>
      <c r="R22" s="2" t="s">
        <v>6</v>
      </c>
      <c r="S22" s="2" t="s">
        <v>7</v>
      </c>
      <c r="T22" s="2" t="s">
        <v>12</v>
      </c>
    </row>
    <row r="23" spans="1:20" ht="15.75" customHeight="1" x14ac:dyDescent="0.25">
      <c r="A23" s="3" t="s">
        <v>45</v>
      </c>
      <c r="B23" s="4" t="s">
        <v>46</v>
      </c>
      <c r="C23" s="5">
        <v>0</v>
      </c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2</v>
      </c>
      <c r="J23" s="6">
        <f t="shared" ref="J23:J26" si="8">(I23/7)</f>
        <v>0.2857142857142857</v>
      </c>
      <c r="K23" s="5" t="str">
        <f t="shared" ref="K23:K26" si="9">IF(J23&lt;0.5,"Bien ++",IF(J23&lt;0.75,"Aceptable +-","Urgente --"))</f>
        <v>Bien ++</v>
      </c>
      <c r="M23" s="4" t="s">
        <v>46</v>
      </c>
      <c r="N23" s="5">
        <v>10</v>
      </c>
      <c r="O23" s="5">
        <v>30</v>
      </c>
      <c r="P23" s="5">
        <v>0</v>
      </c>
      <c r="Q23" s="5">
        <v>15</v>
      </c>
      <c r="R23" s="5">
        <v>20</v>
      </c>
      <c r="S23" s="5">
        <v>11</v>
      </c>
      <c r="T23" s="6">
        <f t="shared" ref="T23:T26" si="10">SUM(N23:S23)</f>
        <v>86</v>
      </c>
    </row>
    <row r="24" spans="1:20" ht="15.75" customHeight="1" x14ac:dyDescent="0.25">
      <c r="A24" s="3" t="s">
        <v>47</v>
      </c>
      <c r="B24" s="2" t="s">
        <v>48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f t="shared" ref="I24:I26" si="11">SUM(C24:H24)</f>
        <v>0</v>
      </c>
      <c r="J24" s="6">
        <f t="shared" si="8"/>
        <v>0</v>
      </c>
      <c r="K24" s="5" t="str">
        <f t="shared" si="9"/>
        <v>Bien ++</v>
      </c>
      <c r="M24" s="4" t="s">
        <v>48</v>
      </c>
      <c r="N24" s="5">
        <v>13</v>
      </c>
      <c r="O24" s="5">
        <v>13</v>
      </c>
      <c r="P24" s="5">
        <v>0</v>
      </c>
      <c r="Q24" s="5">
        <v>15</v>
      </c>
      <c r="R24" s="5">
        <v>5</v>
      </c>
      <c r="S24" s="5">
        <v>5</v>
      </c>
      <c r="T24" s="6">
        <f t="shared" si="10"/>
        <v>51</v>
      </c>
    </row>
    <row r="25" spans="1:20" ht="15.75" customHeight="1" x14ac:dyDescent="0.25">
      <c r="A25" s="3" t="s">
        <v>49</v>
      </c>
      <c r="B25" s="4" t="s">
        <v>50</v>
      </c>
      <c r="C25" s="5">
        <v>1</v>
      </c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f t="shared" si="11"/>
        <v>3</v>
      </c>
      <c r="J25" s="6">
        <f t="shared" si="8"/>
        <v>0.42857142857142855</v>
      </c>
      <c r="K25" s="5" t="str">
        <f t="shared" si="9"/>
        <v>Bien ++</v>
      </c>
      <c r="M25" s="4" t="s">
        <v>50</v>
      </c>
      <c r="N25" s="5">
        <v>23</v>
      </c>
      <c r="O25" s="5">
        <v>11</v>
      </c>
      <c r="P25" s="5">
        <v>0</v>
      </c>
      <c r="Q25" s="5">
        <v>13</v>
      </c>
      <c r="R25" s="5">
        <v>13</v>
      </c>
      <c r="S25" s="5">
        <v>5</v>
      </c>
      <c r="T25" s="6">
        <f t="shared" si="10"/>
        <v>65</v>
      </c>
    </row>
    <row r="26" spans="1:20" ht="15.75" customHeight="1" x14ac:dyDescent="0.25">
      <c r="A26" s="3" t="s">
        <v>51</v>
      </c>
      <c r="B26" s="2" t="s">
        <v>52</v>
      </c>
      <c r="C26" s="29">
        <v>1</v>
      </c>
      <c r="D26" s="5">
        <v>1</v>
      </c>
      <c r="E26" s="5">
        <v>0</v>
      </c>
      <c r="F26" s="5">
        <v>0</v>
      </c>
      <c r="G26" s="5">
        <v>0</v>
      </c>
      <c r="H26" s="5">
        <v>0</v>
      </c>
      <c r="I26" s="5">
        <f t="shared" si="11"/>
        <v>2</v>
      </c>
      <c r="J26" s="6">
        <f t="shared" si="8"/>
        <v>0.2857142857142857</v>
      </c>
      <c r="K26" s="5" t="str">
        <f t="shared" si="9"/>
        <v>Bien ++</v>
      </c>
      <c r="M26" s="4" t="s">
        <v>52</v>
      </c>
      <c r="N26" s="5">
        <v>15</v>
      </c>
      <c r="O26" s="5">
        <v>37</v>
      </c>
      <c r="P26" s="5">
        <v>0</v>
      </c>
      <c r="Q26" s="5">
        <v>12</v>
      </c>
      <c r="R26" s="5">
        <v>12</v>
      </c>
      <c r="S26" s="5">
        <v>10</v>
      </c>
      <c r="T26" s="6">
        <f t="shared" si="10"/>
        <v>86</v>
      </c>
    </row>
    <row r="27" spans="1:20" ht="15.75" customHeight="1" x14ac:dyDescent="0.25">
      <c r="C27" s="30">
        <f>+SUM(C23:C26)</f>
        <v>2</v>
      </c>
      <c r="D27" s="30">
        <f t="shared" ref="D27:K27" si="12">+SUM(D23:D26)</f>
        <v>5</v>
      </c>
      <c r="E27" s="30">
        <f t="shared" si="12"/>
        <v>0</v>
      </c>
      <c r="F27" s="30">
        <f t="shared" si="12"/>
        <v>0</v>
      </c>
      <c r="G27" s="30">
        <f t="shared" si="12"/>
        <v>0</v>
      </c>
      <c r="H27" s="30">
        <f t="shared" si="12"/>
        <v>0</v>
      </c>
      <c r="I27" s="30">
        <f t="shared" si="12"/>
        <v>7</v>
      </c>
      <c r="J27" s="30">
        <f t="shared" si="12"/>
        <v>0.99999999999999989</v>
      </c>
      <c r="K27" s="30"/>
      <c r="M27" s="11" t="s">
        <v>38</v>
      </c>
      <c r="N27" s="7">
        <f t="shared" ref="N27:T27" si="13">AVERAGE(N23:N26)</f>
        <v>15.25</v>
      </c>
      <c r="O27" s="7">
        <f t="shared" si="13"/>
        <v>22.75</v>
      </c>
      <c r="P27" s="7">
        <f t="shared" si="13"/>
        <v>0</v>
      </c>
      <c r="Q27" s="7">
        <f t="shared" si="13"/>
        <v>13.75</v>
      </c>
      <c r="R27" s="7">
        <f t="shared" si="13"/>
        <v>12.5</v>
      </c>
      <c r="S27" s="7">
        <f t="shared" si="13"/>
        <v>7.75</v>
      </c>
      <c r="T27" s="8">
        <f t="shared" si="13"/>
        <v>72</v>
      </c>
    </row>
    <row r="28" spans="1:20" ht="15.75" customHeight="1" x14ac:dyDescent="0.25"/>
    <row r="29" spans="1:20" ht="15.75" customHeight="1" x14ac:dyDescent="0.25">
      <c r="B29" s="5" t="s">
        <v>39</v>
      </c>
    </row>
    <row r="30" spans="1:20" ht="15.75" customHeight="1" x14ac:dyDescent="0.25">
      <c r="B30" s="21"/>
      <c r="C30" s="16"/>
      <c r="D30" s="16"/>
      <c r="E30" s="16"/>
      <c r="F30" s="16"/>
      <c r="G30" s="16"/>
      <c r="H30" s="16"/>
      <c r="I30" s="16"/>
      <c r="J30" s="16"/>
      <c r="K30" s="17"/>
    </row>
    <row r="31" spans="1:20" ht="15.75" customHeight="1" x14ac:dyDescent="0.25">
      <c r="B31" s="22"/>
      <c r="C31" s="23"/>
      <c r="D31" s="23"/>
      <c r="E31" s="23"/>
      <c r="F31" s="23"/>
      <c r="G31" s="23"/>
      <c r="H31" s="23"/>
      <c r="I31" s="23"/>
      <c r="J31" s="23"/>
      <c r="K31" s="24"/>
    </row>
    <row r="32" spans="1:20" ht="15.75" customHeight="1" x14ac:dyDescent="0.25">
      <c r="B32" s="22"/>
      <c r="C32" s="23"/>
      <c r="D32" s="23"/>
      <c r="E32" s="23"/>
      <c r="F32" s="23"/>
      <c r="G32" s="23"/>
      <c r="H32" s="23"/>
      <c r="I32" s="23"/>
      <c r="J32" s="23"/>
      <c r="K32" s="24"/>
    </row>
    <row r="33" spans="2:11" ht="15.75" customHeight="1" x14ac:dyDescent="0.25">
      <c r="B33" s="22"/>
      <c r="C33" s="23"/>
      <c r="D33" s="23"/>
      <c r="E33" s="23"/>
      <c r="F33" s="23"/>
      <c r="G33" s="23"/>
      <c r="H33" s="23"/>
      <c r="I33" s="23"/>
      <c r="J33" s="23"/>
      <c r="K33" s="24"/>
    </row>
    <row r="34" spans="2:11" ht="15.75" customHeight="1" x14ac:dyDescent="0.25">
      <c r="B34" s="22"/>
      <c r="C34" s="23"/>
      <c r="D34" s="23"/>
      <c r="E34" s="23"/>
      <c r="F34" s="23"/>
      <c r="G34" s="23"/>
      <c r="H34" s="23"/>
      <c r="I34" s="23"/>
      <c r="J34" s="23"/>
      <c r="K34" s="24"/>
    </row>
    <row r="35" spans="2:11" ht="15.75" customHeight="1" x14ac:dyDescent="0.25">
      <c r="B35" s="22"/>
      <c r="C35" s="23"/>
      <c r="D35" s="23"/>
      <c r="E35" s="23"/>
      <c r="F35" s="23"/>
      <c r="G35" s="23"/>
      <c r="H35" s="23"/>
      <c r="I35" s="23"/>
      <c r="J35" s="23"/>
      <c r="K35" s="24"/>
    </row>
    <row r="36" spans="2:11" ht="15.75" customHeight="1" x14ac:dyDescent="0.25">
      <c r="B36" s="22"/>
      <c r="C36" s="23"/>
      <c r="D36" s="23"/>
      <c r="E36" s="23"/>
      <c r="F36" s="23"/>
      <c r="G36" s="23"/>
      <c r="H36" s="23"/>
      <c r="I36" s="23"/>
      <c r="J36" s="23"/>
      <c r="K36" s="24"/>
    </row>
    <row r="37" spans="2:11" ht="15.75" customHeight="1" x14ac:dyDescent="0.25">
      <c r="B37" s="22"/>
      <c r="C37" s="23"/>
      <c r="D37" s="23"/>
      <c r="E37" s="23"/>
      <c r="F37" s="23"/>
      <c r="G37" s="23"/>
      <c r="H37" s="23"/>
      <c r="I37" s="23"/>
      <c r="J37" s="23"/>
      <c r="K37" s="24"/>
    </row>
    <row r="38" spans="2:11" ht="15.75" customHeight="1" x14ac:dyDescent="0.25">
      <c r="B38" s="22"/>
      <c r="C38" s="23"/>
      <c r="D38" s="23"/>
      <c r="E38" s="23"/>
      <c r="F38" s="23"/>
      <c r="G38" s="23"/>
      <c r="H38" s="23"/>
      <c r="I38" s="23"/>
      <c r="J38" s="23"/>
      <c r="K38" s="24"/>
    </row>
    <row r="39" spans="2:11" ht="15.75" customHeight="1" x14ac:dyDescent="0.25">
      <c r="B39" s="22"/>
      <c r="C39" s="23"/>
      <c r="D39" s="23"/>
      <c r="E39" s="23"/>
      <c r="F39" s="23"/>
      <c r="G39" s="23"/>
      <c r="H39" s="23"/>
      <c r="I39" s="23"/>
      <c r="J39" s="23"/>
      <c r="K39" s="24"/>
    </row>
    <row r="40" spans="2:11" ht="15.75" customHeight="1" x14ac:dyDescent="0.25">
      <c r="B40" s="22"/>
      <c r="C40" s="23"/>
      <c r="D40" s="23"/>
      <c r="E40" s="23"/>
      <c r="F40" s="23"/>
      <c r="G40" s="23"/>
      <c r="H40" s="23"/>
      <c r="I40" s="23"/>
      <c r="J40" s="23"/>
      <c r="K40" s="24"/>
    </row>
    <row r="41" spans="2:11" ht="15.75" customHeight="1" x14ac:dyDescent="0.25">
      <c r="B41" s="18"/>
      <c r="C41" s="19"/>
      <c r="D41" s="19"/>
      <c r="E41" s="19"/>
      <c r="F41" s="19"/>
      <c r="G41" s="19"/>
      <c r="H41" s="19"/>
      <c r="I41" s="19"/>
      <c r="J41" s="19"/>
      <c r="K41" s="20"/>
    </row>
    <row r="42" spans="2:11" ht="15.75" customHeight="1" x14ac:dyDescent="0.25"/>
    <row r="43" spans="2:11" ht="15.75" customHeight="1" x14ac:dyDescent="0.25"/>
    <row r="44" spans="2:11" ht="15.75" customHeight="1" x14ac:dyDescent="0.25"/>
    <row r="45" spans="2:11" ht="15.75" customHeight="1" x14ac:dyDescent="0.25"/>
    <row r="46" spans="2:11" ht="15.75" customHeight="1" x14ac:dyDescent="0.25"/>
    <row r="47" spans="2:11" ht="15.75" customHeight="1" x14ac:dyDescent="0.25"/>
    <row r="48" spans="2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B2:D3"/>
    <mergeCell ref="B30:K41"/>
    <mergeCell ref="M4:T4"/>
  </mergeCells>
  <conditionalFormatting sqref="K6:K17">
    <cfRule type="containsText" dxfId="9" priority="6" operator="containsText" text="Bien ++">
      <formula>NOT(ISERROR(SEARCH(("Bien ++"),(K6))))</formula>
    </cfRule>
    <cfRule type="containsText" dxfId="8" priority="7" operator="containsText" text="Aceptable +-">
      <formula>NOT(ISERROR(SEARCH(("Aceptable +-"),(K6))))</formula>
    </cfRule>
    <cfRule type="containsText" dxfId="7" priority="8" operator="containsText" text="Urgente --">
      <formula>NOT(ISERROR(SEARCH(("Urgente --"),(K6))))</formula>
    </cfRule>
    <cfRule type="containsBlanks" dxfId="6" priority="9">
      <formula>LEN(TRIM(K6))=0</formula>
    </cfRule>
  </conditionalFormatting>
  <conditionalFormatting sqref="K23:K26">
    <cfRule type="containsText" dxfId="4" priority="1" operator="containsText" text="Bien ++">
      <formula>NOT(ISERROR(SEARCH(("Bien ++"),(K23))))</formula>
    </cfRule>
    <cfRule type="containsText" dxfId="3" priority="2" operator="containsText" text="Aceptable +-">
      <formula>NOT(ISERROR(SEARCH(("Aceptable +-"),(K23))))</formula>
    </cfRule>
    <cfRule type="containsText" dxfId="2" priority="3" operator="containsText" text="Urgente --">
      <formula>NOT(ISERROR(SEARCH(("Urgente --"),(K23))))</formula>
    </cfRule>
    <cfRule type="containsBlanks" dxfId="1" priority="4">
      <formula>LEN(TRIM(K23))=0</formula>
    </cfRule>
  </conditionalFormatting>
  <conditionalFormatting sqref="K23:K26">
    <cfRule type="notContainsBlanks" dxfId="0" priority="5">
      <formula>LEN(TRIM(K23))&gt;0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Estudianteasesor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Ariel San Martin Lopez</dc:creator>
  <cp:lastModifiedBy>Cristina Guadalupe López Flores</cp:lastModifiedBy>
  <dcterms:created xsi:type="dcterms:W3CDTF">2025-11-26T23:08:54Z</dcterms:created>
  <dcterms:modified xsi:type="dcterms:W3CDTF">2025-11-26T23:08:54Z</dcterms:modified>
</cp:coreProperties>
</file>